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32f6fe0bd10e2a/Desktop/Telos Peptides/"/>
    </mc:Choice>
  </mc:AlternateContent>
  <xr:revisionPtr revIDLastSave="145" documentId="8_{AF10A474-A0B1-624D-BABA-A642EF48091D}" xr6:coauthVersionLast="47" xr6:coauthVersionMax="47" xr10:uidLastSave="{D5DDB58D-9FC9-42F0-83F3-C7922A94E1FD}"/>
  <bookViews>
    <workbookView xWindow="-110" yWindow="-110" windowWidth="25820" windowHeight="13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K2" i="1"/>
  <c r="E2" i="1"/>
</calcChain>
</file>

<file path=xl/sharedStrings.xml><?xml version="1.0" encoding="utf-8"?>
<sst xmlns="http://schemas.openxmlformats.org/spreadsheetml/2006/main" count="57" uniqueCount="46">
  <si>
    <t>Peptide Labels</t>
  </si>
  <si>
    <t>Peptide Custom Packaging</t>
  </si>
  <si>
    <t>COST</t>
  </si>
  <si>
    <t>EXPENSES</t>
  </si>
  <si>
    <t>Peptide Order</t>
  </si>
  <si>
    <t>TOTAL</t>
  </si>
  <si>
    <t>Domain Name</t>
  </si>
  <si>
    <t>Website Creator</t>
  </si>
  <si>
    <t>Logo and Label Creator</t>
  </si>
  <si>
    <t>PO</t>
  </si>
  <si>
    <t>VENDOR</t>
  </si>
  <si>
    <t>Order # 114-7961167-2754639</t>
  </si>
  <si>
    <t>Amazon</t>
  </si>
  <si>
    <t>ALIBABA</t>
  </si>
  <si>
    <t>HOSTINGER</t>
  </si>
  <si>
    <t>FIVERR</t>
  </si>
  <si>
    <t>UPS Mailbox Real Address</t>
  </si>
  <si>
    <t>Glass Nasal Vials</t>
  </si>
  <si>
    <t>UPS</t>
  </si>
  <si>
    <t>Sharps container x3</t>
  </si>
  <si>
    <t>Order # 112-7446165-5864250</t>
  </si>
  <si>
    <t>Order # 114-8885165-6714655</t>
  </si>
  <si>
    <t>Bubble Wrap - Packaging</t>
  </si>
  <si>
    <t>Order # 114-6989644-3584250</t>
  </si>
  <si>
    <t xml:space="preserve">
SVANTTO 4x6 Thermal Labels</t>
  </si>
  <si>
    <t>Order # 114-4813717-3244203</t>
  </si>
  <si>
    <t xml:space="preserve">
Nelko Bluetooth Thermal Shipping Label Printer, </t>
  </si>
  <si>
    <t xml:space="preserve">Fragile Stickers </t>
  </si>
  <si>
    <t xml:space="preserve">Acrylic Label Holder for Thermal Printer, </t>
  </si>
  <si>
    <t>SALES</t>
  </si>
  <si>
    <t>PERSON</t>
  </si>
  <si>
    <t>VALUE</t>
  </si>
  <si>
    <t>ERIC B</t>
  </si>
  <si>
    <t>TOTAL SALES</t>
  </si>
  <si>
    <t>PROFIT</t>
  </si>
  <si>
    <t>ERIC P - Yatcht</t>
  </si>
  <si>
    <t>EMIL</t>
  </si>
  <si>
    <t>CRIS</t>
  </si>
  <si>
    <t>Custom Peptide Pens</t>
  </si>
  <si>
    <t>Cartflows Suite for WooCommerce</t>
  </si>
  <si>
    <t>May - Claude Max</t>
  </si>
  <si>
    <t>Claude - Anthropic</t>
  </si>
  <si>
    <t>CartFlow</t>
  </si>
  <si>
    <t>May - Peptide Order</t>
  </si>
  <si>
    <t>Peptide source 2</t>
  </si>
  <si>
    <t>Peptide source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</si>
</sst>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$-409]#,##0.00"/>
  </numFmts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44" fontId="3" fillId="2" borderId="1" xfId="0" applyNumberFormat="1" applyFont="1" applyFill="1" applyBorder="1"/>
    <xf numFmtId="44" fontId="0" fillId="0" borderId="1" xfId="0" applyNumberForma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44" fontId="3" fillId="3" borderId="1" xfId="0" applyNumberFormat="1" applyFont="1" applyFill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164" fontId="1" fillId="4" borderId="1" xfId="0" applyNumberFormat="1" applyFont="1" applyFill="1" applyBorder="1"/>
    <xf numFmtId="0" fontId="1" fillId="4" borderId="1" xfId="0" applyFont="1" applyFill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0828-57BB-104C-98B0-E7B0AB732BB4}">
  <dimension ref="A1:M19"/>
  <sheetViews>
    <sheetView tabSelected="1" zoomScaleNormal="80" zoomScaleSheetLayoutView="100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33.453125" style="2" bestFit="1" customWidth="1"/>
    <col min="2" max="2" width="8.90625" style="3" bestFit="1" customWidth="1"/>
    <col min="3" max="3" width="25.81640625" style="2" bestFit="1" customWidth="1"/>
    <col min="4" max="4" width="17.26953125" style="2" customWidth="1"/>
    <col min="5" max="8" width="8.7265625" style="2"/>
    <col min="9" max="9" width="12.7265625" style="2" bestFit="1" customWidth="1"/>
    <col min="10" max="10" width="8.7265625" style="7"/>
    <col min="11" max="11" width="14.54296875" style="2" bestFit="1" customWidth="1"/>
    <col min="12" max="12" width="8.7265625" style="2"/>
    <col min="13" max="13" width="12" style="2" bestFit="1" customWidth="1"/>
    <col min="14" max="16384" width="8.7265625" style="2"/>
  </cols>
  <sheetData>
    <row r="1" spans="1:13" s="8" customFormat="1" ht="18.5" x14ac:dyDescent="0.45">
      <c r="A1" s="8" t="s">
        <v>3</v>
      </c>
      <c r="B1" s="9" t="s">
        <v>2</v>
      </c>
      <c r="C1" s="8" t="s">
        <v>9</v>
      </c>
      <c r="D1" s="8" t="s">
        <v>10</v>
      </c>
      <c r="E1" s="15" t="s">
        <v>5</v>
      </c>
      <c r="F1" s="15"/>
      <c r="I1" s="8" t="s">
        <v>29</v>
      </c>
      <c r="J1" s="10"/>
      <c r="K1" s="1" t="s">
        <v>33</v>
      </c>
      <c r="M1" s="11" t="s">
        <v>34</v>
      </c>
    </row>
    <row r="2" spans="1:13" ht="18.5" x14ac:dyDescent="0.45">
      <c r="A2" s="2" t="s">
        <v>0</v>
      </c>
      <c r="B2" s="3">
        <v>140</v>
      </c>
      <c r="D2" s="2" t="s">
        <v>13</v>
      </c>
      <c r="E2" s="13">
        <f>SUM(B2:B300)</f>
        <v>5542.32</v>
      </c>
      <c r="F2" s="14"/>
      <c r="I2" s="2" t="s">
        <v>30</v>
      </c>
      <c r="J2" s="7" t="s">
        <v>31</v>
      </c>
      <c r="K2" s="6">
        <f>SUM(J2:J300)</f>
        <v>1212</v>
      </c>
      <c r="M2" s="12">
        <f>SUM(J2:J300)-SUM(B2:B300)</f>
        <v>-4330.32</v>
      </c>
    </row>
    <row r="3" spans="1:13" x14ac:dyDescent="0.35">
      <c r="A3" s="2" t="s">
        <v>1</v>
      </c>
      <c r="B3" s="3">
        <v>1180</v>
      </c>
      <c r="D3" s="2" t="s">
        <v>13</v>
      </c>
      <c r="E3" s="14"/>
      <c r="F3" s="14"/>
      <c r="I3" s="2" t="s">
        <v>35</v>
      </c>
      <c r="J3" s="7">
        <v>463</v>
      </c>
    </row>
    <row r="4" spans="1:13" x14ac:dyDescent="0.35">
      <c r="A4" s="2" t="s">
        <v>4</v>
      </c>
      <c r="B4" s="3">
        <v>1410</v>
      </c>
      <c r="D4" s="2" t="s">
        <v>45</v>
      </c>
      <c r="I4" s="2" t="s">
        <v>32</v>
      </c>
      <c r="J4" s="7">
        <v>519</v>
      </c>
    </row>
    <row r="5" spans="1:13" x14ac:dyDescent="0.35">
      <c r="A5" s="2" t="s">
        <v>6</v>
      </c>
      <c r="B5" s="3">
        <v>20</v>
      </c>
      <c r="D5" s="2" t="s">
        <v>14</v>
      </c>
      <c r="I5" s="2" t="s">
        <v>36</v>
      </c>
      <c r="J5" s="7">
        <v>200</v>
      </c>
    </row>
    <row r="6" spans="1:13" x14ac:dyDescent="0.35">
      <c r="A6" s="2" t="s">
        <v>7</v>
      </c>
      <c r="B6" s="3">
        <v>160</v>
      </c>
      <c r="D6" s="2" t="s">
        <v>15</v>
      </c>
      <c r="I6" s="2" t="s">
        <v>37</v>
      </c>
      <c r="J6" s="7">
        <v>30</v>
      </c>
    </row>
    <row r="7" spans="1:13" x14ac:dyDescent="0.35">
      <c r="A7" s="2" t="s">
        <v>8</v>
      </c>
      <c r="B7" s="3">
        <v>40</v>
      </c>
      <c r="D7" s="2" t="s">
        <v>15</v>
      </c>
    </row>
    <row r="8" spans="1:13" x14ac:dyDescent="0.35">
      <c r="A8" s="4" t="s">
        <v>17</v>
      </c>
      <c r="B8" s="3">
        <v>53.35</v>
      </c>
      <c r="C8" s="2" t="s">
        <v>11</v>
      </c>
      <c r="D8" s="2" t="s">
        <v>12</v>
      </c>
    </row>
    <row r="9" spans="1:13" x14ac:dyDescent="0.35">
      <c r="A9" s="2" t="s">
        <v>16</v>
      </c>
      <c r="B9" s="3">
        <v>473</v>
      </c>
      <c r="D9" s="2" t="s">
        <v>18</v>
      </c>
    </row>
    <row r="10" spans="1:13" x14ac:dyDescent="0.35">
      <c r="A10" s="2" t="s">
        <v>19</v>
      </c>
      <c r="B10" s="3">
        <v>14.97</v>
      </c>
      <c r="C10" s="2" t="s">
        <v>20</v>
      </c>
      <c r="D10" s="2" t="s">
        <v>12</v>
      </c>
    </row>
    <row r="11" spans="1:13" x14ac:dyDescent="0.35">
      <c r="A11" s="2" t="s">
        <v>22</v>
      </c>
      <c r="B11" s="3">
        <v>13</v>
      </c>
      <c r="C11" s="2" t="s">
        <v>21</v>
      </c>
      <c r="D11" s="2" t="s">
        <v>12</v>
      </c>
    </row>
    <row r="12" spans="1:13" ht="43.5" x14ac:dyDescent="0.35">
      <c r="A12" s="5" t="s">
        <v>24</v>
      </c>
      <c r="B12" s="3">
        <v>12</v>
      </c>
      <c r="C12" s="2" t="s">
        <v>23</v>
      </c>
      <c r="D12" s="2" t="s">
        <v>12</v>
      </c>
    </row>
    <row r="13" spans="1:13" ht="43.5" x14ac:dyDescent="0.35">
      <c r="A13" s="5" t="s">
        <v>26</v>
      </c>
      <c r="B13" s="3">
        <v>116</v>
      </c>
      <c r="C13" s="2" t="s">
        <v>25</v>
      </c>
      <c r="D13" s="2" t="s">
        <v>12</v>
      </c>
    </row>
    <row r="14" spans="1:13" x14ac:dyDescent="0.35">
      <c r="A14" s="2" t="s">
        <v>27</v>
      </c>
      <c r="B14" s="3">
        <v>7</v>
      </c>
      <c r="C14" s="2" t="s">
        <v>25</v>
      </c>
      <c r="D14" s="2" t="s">
        <v>12</v>
      </c>
    </row>
    <row r="15" spans="1:13" x14ac:dyDescent="0.35">
      <c r="A15" s="2" t="s">
        <v>28</v>
      </c>
      <c r="B15" s="3">
        <v>23</v>
      </c>
      <c r="C15" s="2" t="s">
        <v>25</v>
      </c>
      <c r="D15" s="2" t="s">
        <v>12</v>
      </c>
    </row>
    <row r="16" spans="1:13" x14ac:dyDescent="0.35">
      <c r="A16" s="2" t="s">
        <v>38</v>
      </c>
      <c r="B16" s="3">
        <v>280</v>
      </c>
      <c r="D16" s="2" t="s">
        <v>13</v>
      </c>
    </row>
    <row r="17" spans="1:4" x14ac:dyDescent="0.35">
      <c r="A17" s="2" t="s">
        <v>39</v>
      </c>
      <c r="B17" s="3">
        <v>200</v>
      </c>
      <c r="D17" s="2" t="s">
        <v>42</v>
      </c>
    </row>
    <row r="18" spans="1:4" x14ac:dyDescent="0.35">
      <c r="A18" s="2" t="s">
        <v>40</v>
      </c>
      <c r="B18" s="3">
        <v>100</v>
      </c>
      <c r="D18" s="2" t="s">
        <v>41</v>
      </c>
    </row>
    <row r="19" spans="1:4" x14ac:dyDescent="0.35">
      <c r="A19" s="2" t="s">
        <v>43</v>
      </c>
      <c r="B19" s="3">
        <v>1300</v>
      </c>
      <c r="D19" s="2" t="s">
        <v>44</v>
      </c>
    </row>
  </sheetData>
  <mergeCells count="2">
    <mergeCell ref="E2:F3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Bustos</dc:creator>
  <cp:lastModifiedBy>Cesar Bustos</cp:lastModifiedBy>
  <dcterms:created xsi:type="dcterms:W3CDTF">2026-05-09T17:58:53Z</dcterms:created>
  <dcterms:modified xsi:type="dcterms:W3CDTF">2026-05-24T09:25:37Z</dcterms:modified>
</cp:coreProperties>
</file>